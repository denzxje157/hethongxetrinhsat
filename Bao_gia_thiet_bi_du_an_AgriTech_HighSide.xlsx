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All-Project\AgriTech\"/>
    </mc:Choice>
  </mc:AlternateContent>
  <xr:revisionPtr revIDLastSave="0" documentId="13_ncr:1_{35771C2D-D019-4EFE-8410-47F52C62433B}" xr6:coauthVersionLast="47" xr6:coauthVersionMax="47" xr10:uidLastSave="{00000000-0000-0000-0000-000000000000}"/>
  <bookViews>
    <workbookView xWindow="-96" yWindow="-96" windowWidth="23232" windowHeight="13992" xr2:uid="{00000000-000D-0000-FFFF-FFFF00000000}"/>
  </bookViews>
  <sheets>
    <sheet name="Bảng Dự Toán BOM Chi Tiế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1" l="1"/>
  <c r="F48" i="1"/>
  <c r="F50" i="1" s="1"/>
  <c r="F46" i="1"/>
  <c r="F45" i="1"/>
  <c r="F43" i="1"/>
  <c r="F42" i="1"/>
  <c r="F41" i="1"/>
  <c r="F40" i="1"/>
  <c r="F39" i="1"/>
  <c r="F38" i="1"/>
  <c r="F37" i="1"/>
  <c r="F35" i="1"/>
  <c r="F34" i="1"/>
  <c r="F33" i="1"/>
  <c r="F32" i="1"/>
  <c r="F30" i="1"/>
  <c r="F29" i="1"/>
  <c r="F28" i="1"/>
  <c r="F27" i="1"/>
  <c r="F26" i="1"/>
  <c r="F24" i="1"/>
  <c r="F23" i="1"/>
  <c r="F22" i="1"/>
  <c r="F21" i="1"/>
  <c r="F20" i="1"/>
  <c r="F19" i="1"/>
  <c r="F17" i="1"/>
  <c r="F16" i="1"/>
  <c r="F15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<sst xmlns="http://schemas.openxmlformats.org/spreadsheetml/2006/main" count="243" uniqueCount="165">
  <si>
    <t>BẢNG ĐỐI CHIẾU VÀ DỰ TOÁN NGÂN SÁCH THIẾT BỊ HỆ THỐNG AGRITECH</t>
  </si>
  <si>
    <t>Tích hợp các hạng mục đã xác minh (Xanh lá) &amp; hạng mục dự phòng cao (Tránh bị lỗ)</t>
  </si>
  <si>
    <t>Mã</t>
  </si>
  <si>
    <t>Nhóm Thiết Bị</t>
  </si>
  <si>
    <t>Tên Thiết Bị / Linh Kiện</t>
  </si>
  <si>
    <t>SL</t>
  </si>
  <si>
    <t>Đơn Giá Tham Khảo (VNĐ)</t>
  </si>
  <si>
    <t>Thành Tiền (VNĐ)</t>
  </si>
  <si>
    <t>Trạng Thái Xác Minh</t>
  </si>
  <si>
    <t>Nguồn / Link</t>
  </si>
  <si>
    <t>Ghi Chú Chi Tiết</t>
  </si>
  <si>
    <t>A - Cụm cảm biến</t>
  </si>
  <si>
    <t>A1</t>
  </si>
  <si>
    <t>Camera RGB Raspberry Pi HQ Sony IMX477</t>
  </si>
  <si>
    <t>Đã xác minh (VN)</t>
  </si>
  <si>
    <t>https://www.proe.vn/rpi-camera-hq-official-raspberry-pi-high-quality-camera-module</t>
  </si>
  <si>
    <t>Giá trị xác thực thực tế tại ProE VN. Đã kèm ống kính.</t>
  </si>
  <si>
    <t>A2</t>
  </si>
  <si>
    <t>Camera NIR 850nm Arducam OV9281 Mono GS (x2)</t>
  </si>
  <si>
    <t>Chưa xác minh</t>
  </si>
  <si>
    <t>https://www.proe.vn/ov9281-110-mono-camera-for-raspberry-pi-global-shutter-1mp</t>
  </si>
  <si>
    <t>Lấy giá dự phòng cao của bạn (bản Waveshare có sẵn tại VN).</t>
  </si>
  <si>
    <t>A3</t>
  </si>
  <si>
    <t>Camera Thermal FLIR Lepton 3.5 + PureThermal Mini</t>
  </si>
  <si>
    <t>https://www.proe.vn/purethermal-3-flir-lepton-smart-i-o-board</t>
  </si>
  <si>
    <t>Lấy giá dự phòng cao (cụm ảnh nhiệt và mạch giao tiếp PureThermal).</t>
  </si>
  <si>
    <t>A4</t>
  </si>
  <si>
    <t>Bandpass filter NIR 850nm (x2)</t>
  </si>
  <si>
    <t>Edmund Optics / Shopee</t>
  </si>
  <si>
    <t>Kính lọc hồng ngoại 850nm loại bỏ nhiễu ánh sáng tự nhiên.</t>
  </si>
  <si>
    <t>A5</t>
  </si>
  <si>
    <t>LED ring NIR 850nm 12V 20W strobe (x2)</t>
  </si>
  <si>
    <t>Cần liên hệ</t>
  </si>
  <si>
    <t>https://www.thegioiic.com/mach-led-hong-ngoai-b-850nm-sku-10670</t>
  </si>
  <si>
    <t>Mạch LED chớp hồng ngoại đồng bộ màn trập camera.</t>
  </si>
  <si>
    <t>A6</t>
  </si>
  <si>
    <t>Kính lọc sapphire M52 thay thế được (x3)</t>
  </si>
  <si>
    <t>Shopee / Lazada</t>
  </si>
  <si>
    <t>Kính Sapphire bảo vệ ống kính camera khỏi sình đất.</t>
  </si>
  <si>
    <t>A7</t>
  </si>
  <si>
    <t>Polarizing filter CPL 52mm Hoya (x2)</t>
  </si>
  <si>
    <t>https://tokyocamera.vn/san-pham/kinh-loc-hoya-ux-cpl/</t>
  </si>
  <si>
    <t>Đơn giá 810.000 VNĐ/cái xác minh tại TokyoCamera VN.</t>
  </si>
  <si>
    <t>A8</t>
  </si>
  <si>
    <t>Hydrophobic coating kit (Rain-X)</t>
  </si>
  <si>
    <t>Cửa hàng phụ kiện ô tô / Shopee</t>
  </si>
  <si>
    <t>Dung dịch phủ nano chống bám nước kính camera.</t>
  </si>
  <si>
    <t>B - Edge AI</t>
  </si>
  <si>
    <t>B1</t>
  </si>
  <si>
    <t>NVIDIA Jetson Orin NX 16GB Dev Kit + carrier</t>
  </si>
  <si>
    <t>https://www.proe.vn/jetson-orin-nx-16g-dev-kit-us</t>
  </si>
  <si>
    <t>Đơn giá 39.000.000 VNĐ tại ProE (Dev Kit kèm carrier board Waveshare).</t>
  </si>
  <si>
    <t>B2</t>
  </si>
  <si>
    <t>SSD Samsung 870 EVO 512GB</t>
  </si>
  <si>
    <t>https://gearvn.com/products/ssd-samsung-870-evo-500gb-2-5-sata-iii</t>
  </si>
  <si>
    <t>Đã xác minh tại GEARVN. Giá thực tế bản 500GB SATA.</t>
  </si>
  <si>
    <t>B3</t>
  </si>
  <si>
    <t>Hộp nhôm IP65 cho Jetson (gia công)</t>
  </si>
  <si>
    <t>Xưởng cơ khí địa phương</t>
  </si>
  <si>
    <t>Hộp tản nhiệt bảo vệ bo mạch biên ngoài đồng ruộng.</t>
  </si>
  <si>
    <t>C - Định vị RTK</t>
  </si>
  <si>
    <t>C1</t>
  </si>
  <si>
    <t>GNSS RTK Rover u-blox ZED-F9P (ArduSimple simpleRTK2B)</t>
  </si>
  <si>
    <t>https://www.ardusimple.com/product/simplertk2b/</t>
  </si>
  <si>
    <t>Mạch Rover gắn trên xe kéo cày định vị chính xác centimet.</t>
  </si>
  <si>
    <t>C2</t>
  </si>
  <si>
    <t>GNSS RTK Base Station (cùng board ZED-F9P)</t>
  </si>
  <si>
    <t>Mạch Base Station cố định ở đầu ruộng kèm anten đa băng tần.</t>
  </si>
  <si>
    <t>C3</t>
  </si>
  <si>
    <t>Radio link RTK RFD900x (1 cặp = 2 modem)</t>
  </si>
  <si>
    <t>https://store.rfdesign.com.au/rfd-900x-modem/</t>
  </si>
  <si>
    <t>Modem truyền tín hiệu vi sai RTK giữa Base và Rover ngoài đồng.</t>
  </si>
  <si>
    <t>C4</t>
  </si>
  <si>
    <t>IMU 9-axis SparkFun ICM-42688-P</t>
  </si>
  <si>
    <t>DigiKey / Shopee</t>
  </si>
  <si>
    <t>Cảm biến gia tốc 9 trục đo góc nghiêng bù sai số động học.</t>
  </si>
  <si>
    <t>C5</t>
  </si>
  <si>
    <t>Dual GNSS antenna heading (x2)</t>
  </si>
  <si>
    <t>ArduSimple / Shopee</t>
  </si>
  <si>
    <t>Anten đa băng tần hiệu năng cao bắt tín hiệu vệ tinh GNSS.</t>
  </si>
  <si>
    <t>C6</t>
  </si>
  <si>
    <t>Wheel encoder AS5048A magnetic rotary</t>
  </si>
  <si>
    <t>Mã hóa từ tính 14-bit đo vận tốc thực tế tại bánh xe.</t>
  </si>
  <si>
    <t>D - Nguồn điện</t>
  </si>
  <si>
    <t>D1</t>
  </si>
  <si>
    <t>Pin LiFePO4 24V/50Ah</t>
  </si>
  <si>
    <t>Nhà cung cấp pin Lithium VN</t>
  </si>
  <si>
    <t>Pin Lithium CSC hoặc tương đương kèm BMS và bộ sạc.</t>
  </si>
  <si>
    <t>D2</t>
  </si>
  <si>
    <t>DC-DC converter 24V-&gt;12V 15A (180W)</t>
  </si>
  <si>
    <t>Hạ nguồn cấp cho đèn LED Ring và Radio RFD900x.</t>
  </si>
  <si>
    <t>D3</t>
  </si>
  <si>
    <t>DC-DC converter 24V-&gt;5V 10A (50W)</t>
  </si>
  <si>
    <t>Hạ nguồn cấp USB-C dòng cao ổn định cho NVIDIA Jetson.</t>
  </si>
  <si>
    <t>D4</t>
  </si>
  <si>
    <t>Sạc LiFePO4 29.2V 10A</t>
  </si>
  <si>
    <t>Sạc chuyên dụng dòng cao sạc pin 24V nhanh chóng.</t>
  </si>
  <si>
    <t>D5</t>
  </si>
  <si>
    <t>Polyfuse 30A + TVS diode bảo vệ</t>
  </si>
  <si>
    <t>Cửa hàng linh kiện điện tử</t>
  </si>
  <si>
    <t>Bảo vệ quá dòng và chống sốc nguồn điện từ bình pin.</t>
  </si>
  <si>
    <t>E - Truyền thông 4G</t>
  </si>
  <si>
    <t>E1</t>
  </si>
  <si>
    <t>Modem Quectel EC25-AF M.2 + USB adapter</t>
  </si>
  <si>
    <t>https://www.proe.vn/quectel-ec25-4g-lte-cat-4-module</t>
  </si>
  <si>
    <t>Mạch 4G đẩy dữ liệu định vị cỏ dại JSON lên Cloud.</t>
  </si>
  <si>
    <t>E2</t>
  </si>
  <si>
    <t>Anten 4G MIMO ngoài trời IP67</t>
  </si>
  <si>
    <t>Tăng cường chất lượng sóng di động ngoài ruộng mía.</t>
  </si>
  <si>
    <t>E3</t>
  </si>
  <si>
    <t>SIM data 4G Viettel 30GB/tháng</t>
  </si>
  <si>
    <t>Viettel Store</t>
  </si>
  <si>
    <t>Gói cước data di động phục vụ đẩy dữ liệu realtime.</t>
  </si>
  <si>
    <t>E4</t>
  </si>
  <si>
    <t>WiFi AP TP-Link EAP110 Outdoor</t>
  </si>
  <si>
    <t>https://songphuong.vn/product/wifi-tp-link-eap115-bridge-kit/</t>
  </si>
  <si>
    <t>Đã xác minh EAP115 Bridge Kit ngoài trời IP65 tại Song Phương VN.</t>
  </si>
  <si>
    <t>F - Cơ khí IP67</t>
  </si>
  <si>
    <t>F1</t>
  </si>
  <si>
    <t>Khung thép 3-point hitch (gia công)</t>
  </si>
  <si>
    <t>Gá đỡ cơ khí chịu lực gắn sau xe máy cày kéo.</t>
  </si>
  <si>
    <t>F2</t>
  </si>
  <si>
    <t>Thanh sensor nhôm 6061 CNC</t>
  </si>
  <si>
    <t>Xưởng cơ khí CNC</t>
  </si>
  <si>
    <t>Thanh nhôm chịu lực gắn camera gá quét mặt đất.</t>
  </si>
  <si>
    <t>F3</t>
  </si>
  <si>
    <t>Vỏ nhôm IP67 cho camera CNC (x3)</t>
  </si>
  <si>
    <t>Xưởng gia công CNC</t>
  </si>
  <si>
    <t>Vỏ nhôm bảo vệ camera kháng bụi, nước công nghiệp.</t>
  </si>
  <si>
    <t>F4</t>
  </si>
  <si>
    <t>Visor chắn mưa/bụi nhôm (x3)</t>
  </si>
  <si>
    <t>Xưởng nhôm tấm</t>
  </si>
  <si>
    <t>Che mưa nắng tránh bụi đất bám lên mặt kính bảo vệ.</t>
  </si>
  <si>
    <t>F5</t>
  </si>
  <si>
    <t>Đệm giảm chấn NBR M6 (12 cái)</t>
  </si>
  <si>
    <t>Cửa hàng cơ khí / Shopee</t>
  </si>
  <si>
    <t>Cao su đệm giảm dao động cơ học từ động cơ máy kéo.</t>
  </si>
  <si>
    <t>F6</t>
  </si>
  <si>
    <t>Cáp PUR + connector M12 IP67 (bộ 8)</t>
  </si>
  <si>
    <t>Aliexpress / Shopee</t>
  </si>
  <si>
    <t>Bộ cáp truyền dẫn công nghiệp kháng bụi, dầu, nước mưa.</t>
  </si>
  <si>
    <t>F7</t>
  </si>
  <si>
    <t>Gimbal DIY 3-axis SimpleBGC (tùy chọn)</t>
  </si>
  <si>
    <t>Bộ chống rung ổn định hình ảnh cho cụm camera (Tùy chọn).</t>
  </si>
  <si>
    <t>G - Cloud server</t>
  </si>
  <si>
    <t>G1</t>
  </si>
  <si>
    <t>VPS Cloud Server 4vCPU/8GB/200GB</t>
  </si>
  <si>
    <t>https://azdigi.com/platinum-cloud-server</t>
  </si>
  <si>
    <t>Xác minh gói Platinum Cloud CS 5 tại AZDIGI VN (790.000đ/tháng).</t>
  </si>
  <si>
    <t>G2</t>
  </si>
  <si>
    <t>Domain .vn + SSL</t>
  </si>
  <si>
    <t>PAVIETNAM / Mắt Bão</t>
  </si>
  <si>
    <t>Đăng ký tên miền quốc gia và SSL bảo mật API gửi nhận.</t>
  </si>
  <si>
    <t>H - Nhân công phát triển</t>
  </si>
  <si>
    <t>H4</t>
  </si>
  <si>
    <t>H - Phần mềm</t>
  </si>
  <si>
    <t>Cloud backend + dashboard (nhân công)</t>
  </si>
  <si>
    <t>Nhân công</t>
  </si>
  <si>
    <t>Không áp dụng</t>
  </si>
  <si>
    <t>Chi phí nhân công thiết lập cloud và viết code dashboard.</t>
  </si>
  <si>
    <t>H5</t>
  </si>
  <si>
    <t>Field test + calibration (nhân công + thực địa)</t>
  </si>
  <si>
    <t>Chi phí công tác, di chuyển và thực tế bám ruộng mía cân chỉnh.</t>
  </si>
  <si>
    <t>TỔNG DỰ TOÁN NGÂN SÁCH THIẾT BỊ HỆ THỐNG (BOM CapEx + Nhân công)</t>
  </si>
  <si>
    <t>VNĐ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</si>
</sst>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5"/>
      <color rgb="FF1A365D"/>
      <name val="Arial"/>
    </font>
    <font>
      <i/>
      <sz val="11"/>
      <color rgb="FF4A5568"/>
      <name val="Arial"/>
    </font>
    <font>
      <b/>
      <sz val="10"/>
      <color rgb="FFFFFFFF"/>
      <name val="Arial"/>
    </font>
    <font>
      <b/>
      <sz val="11"/>
      <color rgb="FF1A365D"/>
      <name val="Arial"/>
    </font>
    <font>
      <b/>
      <sz val="10"/>
      <color rgb="FF333333"/>
      <name val="Arial"/>
    </font>
    <font>
      <sz val="10"/>
      <color rgb="FF333333"/>
      <name val="Arial"/>
    </font>
    <font>
      <b/>
      <sz val="10"/>
      <color rgb="FF1B5E20"/>
      <name val="Arial"/>
    </font>
    <font>
      <b/>
      <sz val="11"/>
      <color rgb="FF000000"/>
      <name val="Arial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E2E8F0"/>
        <bgColor rgb="FFE2E8F0"/>
      </patternFill>
    </fill>
    <fill>
      <patternFill patternType="solid">
        <fgColor rgb="FFE8F5E9"/>
        <bgColor rgb="FFE8F5E9"/>
      </patternFill>
    </fill>
    <fill>
      <patternFill patternType="solid">
        <fgColor rgb="FFF7FAFC"/>
        <bgColor rgb="FFF7FAFC"/>
      </patternFill>
    </fill>
    <fill>
      <patternFill patternType="solid">
        <fgColor rgb="FFFFFDE7"/>
        <bgColor rgb="FFFFFDE7"/>
      </patternFill>
    </fill>
    <fill>
      <patternFill patternType="solid">
        <fgColor rgb="FFCBD5E1"/>
        <bgColor rgb="FFCBD5E1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4A5568"/>
      </top>
      <bottom style="double">
        <color rgb="FF1A365D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right" vertical="center" wrapText="1"/>
    </xf>
    <xf numFmtId="3" fontId="5" fillId="4" borderId="1" xfId="0" applyNumberFormat="1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3" fontId="6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 wrapText="1"/>
    </xf>
    <xf numFmtId="3" fontId="5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8" fillId="7" borderId="2" xfId="0" applyNumberFormat="1" applyFont="1" applyFill="1" applyBorder="1" applyAlignment="1">
      <alignment horizontal="righ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8" fillId="7" borderId="2" xfId="0" applyFont="1" applyFill="1" applyBorder="1" applyAlignment="1">
      <alignment horizontal="right" vertical="center" wrapText="1"/>
    </xf>
    <xf numFmtId="0" fontId="0" fillId="7" borderId="2" xfId="0" applyFill="1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9" fillId="5" borderId="1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dusimple.com/product/simplertk2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A22" zoomScale="70" zoomScaleNormal="70" workbookViewId="0">
      <selection activeCell="F49" sqref="F49"/>
    </sheetView>
  </sheetViews>
  <sheetFormatPr defaultRowHeight="14.4" x14ac:dyDescent="0.55000000000000004"/>
  <cols>
    <col min="1" max="1" width="8" customWidth="1"/>
    <col min="2" max="2" width="20" customWidth="1"/>
    <col min="3" max="3" width="45" customWidth="1"/>
    <col min="4" max="4" width="8" customWidth="1"/>
    <col min="5" max="7" width="22" customWidth="1"/>
    <col min="8" max="8" width="45" customWidth="1"/>
    <col min="9" max="9" width="65" customWidth="1"/>
  </cols>
  <sheetData>
    <row r="1" spans="1:9" ht="35.049999999999997" customHeight="1" x14ac:dyDescent="0.55000000000000004">
      <c r="A1" s="30" t="s">
        <v>0</v>
      </c>
      <c r="B1" s="29"/>
      <c r="C1" s="29"/>
      <c r="D1" s="29"/>
      <c r="E1" s="29"/>
      <c r="F1" s="29"/>
      <c r="G1" s="29"/>
      <c r="H1" s="29"/>
      <c r="I1" s="29"/>
    </row>
    <row r="2" spans="1:9" ht="18" customHeight="1" x14ac:dyDescent="0.55000000000000004">
      <c r="A2" s="28" t="s">
        <v>1</v>
      </c>
      <c r="B2" s="29"/>
      <c r="C2" s="29"/>
      <c r="D2" s="29"/>
      <c r="E2" s="29"/>
      <c r="F2" s="29"/>
      <c r="G2" s="29"/>
      <c r="H2" s="29"/>
      <c r="I2" s="29"/>
    </row>
    <row r="4" spans="1:9" ht="25" customHeight="1" x14ac:dyDescent="0.5500000000000000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4" customHeight="1" x14ac:dyDescent="0.55000000000000004">
      <c r="A5" s="24" t="s">
        <v>11</v>
      </c>
      <c r="B5" s="25"/>
      <c r="C5" s="25"/>
      <c r="D5" s="25"/>
      <c r="E5" s="25"/>
      <c r="F5" s="25"/>
      <c r="G5" s="25"/>
      <c r="H5" s="25"/>
      <c r="I5" s="25"/>
    </row>
    <row r="6" spans="1:9" ht="22" customHeight="1" x14ac:dyDescent="0.55000000000000004">
      <c r="A6" s="2" t="s">
        <v>12</v>
      </c>
      <c r="B6" s="3" t="s">
        <v>11</v>
      </c>
      <c r="C6" s="4" t="s">
        <v>13</v>
      </c>
      <c r="D6" s="5">
        <v>1</v>
      </c>
      <c r="E6" s="6">
        <v>1990000</v>
      </c>
      <c r="F6" s="7">
        <f t="shared" ref="F6:F13" si="0">D6*E6</f>
        <v>1990000</v>
      </c>
      <c r="G6" s="8" t="s">
        <v>14</v>
      </c>
      <c r="H6" s="3" t="s">
        <v>15</v>
      </c>
      <c r="I6" s="3" t="s">
        <v>16</v>
      </c>
    </row>
    <row r="7" spans="1:9" ht="22" customHeight="1" x14ac:dyDescent="0.55000000000000004">
      <c r="A7" s="9" t="s">
        <v>17</v>
      </c>
      <c r="B7" s="10" t="s">
        <v>11</v>
      </c>
      <c r="C7" s="10" t="s">
        <v>18</v>
      </c>
      <c r="D7" s="11">
        <v>2</v>
      </c>
      <c r="E7" s="12">
        <v>1000000</v>
      </c>
      <c r="F7" s="13">
        <f t="shared" si="0"/>
        <v>2000000</v>
      </c>
      <c r="G7" s="14" t="s">
        <v>19</v>
      </c>
      <c r="H7" s="10" t="s">
        <v>20</v>
      </c>
      <c r="I7" s="10" t="s">
        <v>21</v>
      </c>
    </row>
    <row r="8" spans="1:9" ht="22" customHeight="1" x14ac:dyDescent="0.55000000000000004">
      <c r="A8" s="15" t="s">
        <v>22</v>
      </c>
      <c r="B8" s="3" t="s">
        <v>11</v>
      </c>
      <c r="C8" s="3" t="s">
        <v>23</v>
      </c>
      <c r="D8" s="16">
        <v>1</v>
      </c>
      <c r="E8" s="17">
        <v>12500000</v>
      </c>
      <c r="F8" s="18">
        <f t="shared" si="0"/>
        <v>12500000</v>
      </c>
      <c r="G8" s="19" t="s">
        <v>19</v>
      </c>
      <c r="H8" s="3" t="s">
        <v>24</v>
      </c>
      <c r="I8" s="3" t="s">
        <v>25</v>
      </c>
    </row>
    <row r="9" spans="1:9" ht="22" customHeight="1" x14ac:dyDescent="0.55000000000000004">
      <c r="A9" s="9" t="s">
        <v>26</v>
      </c>
      <c r="B9" s="10" t="s">
        <v>11</v>
      </c>
      <c r="C9" s="10" t="s">
        <v>27</v>
      </c>
      <c r="D9" s="11">
        <v>2</v>
      </c>
      <c r="E9" s="12">
        <v>400000</v>
      </c>
      <c r="F9" s="13">
        <f t="shared" si="0"/>
        <v>800000</v>
      </c>
      <c r="G9" s="14" t="s">
        <v>19</v>
      </c>
      <c r="H9" s="10" t="s">
        <v>28</v>
      </c>
      <c r="I9" s="10" t="s">
        <v>29</v>
      </c>
    </row>
    <row r="10" spans="1:9" ht="22" customHeight="1" x14ac:dyDescent="0.55000000000000004">
      <c r="A10" s="15" t="s">
        <v>30</v>
      </c>
      <c r="B10" s="3" t="s">
        <v>11</v>
      </c>
      <c r="C10" s="3" t="s">
        <v>31</v>
      </c>
      <c r="D10" s="16">
        <v>2</v>
      </c>
      <c r="E10" s="20">
        <v>350000</v>
      </c>
      <c r="F10" s="18">
        <f t="shared" si="0"/>
        <v>700000</v>
      </c>
      <c r="G10" s="21" t="s">
        <v>32</v>
      </c>
      <c r="H10" s="3" t="s">
        <v>33</v>
      </c>
      <c r="I10" s="3" t="s">
        <v>34</v>
      </c>
    </row>
    <row r="11" spans="1:9" ht="22" customHeight="1" x14ac:dyDescent="0.55000000000000004">
      <c r="A11" s="9" t="s">
        <v>35</v>
      </c>
      <c r="B11" s="10" t="s">
        <v>11</v>
      </c>
      <c r="C11" s="10" t="s">
        <v>36</v>
      </c>
      <c r="D11" s="11">
        <v>3</v>
      </c>
      <c r="E11" s="12">
        <v>300000</v>
      </c>
      <c r="F11" s="13">
        <f t="shared" si="0"/>
        <v>900000</v>
      </c>
      <c r="G11" s="14" t="s">
        <v>19</v>
      </c>
      <c r="H11" s="10" t="s">
        <v>37</v>
      </c>
      <c r="I11" s="10" t="s">
        <v>38</v>
      </c>
    </row>
    <row r="12" spans="1:9" ht="22" customHeight="1" x14ac:dyDescent="0.55000000000000004">
      <c r="A12" s="2" t="s">
        <v>39</v>
      </c>
      <c r="B12" s="3" t="s">
        <v>11</v>
      </c>
      <c r="C12" s="4" t="s">
        <v>40</v>
      </c>
      <c r="D12" s="5">
        <v>2</v>
      </c>
      <c r="E12" s="6">
        <v>810000</v>
      </c>
      <c r="F12" s="7">
        <f t="shared" si="0"/>
        <v>1620000</v>
      </c>
      <c r="G12" s="8" t="s">
        <v>14</v>
      </c>
      <c r="H12" s="3" t="s">
        <v>41</v>
      </c>
      <c r="I12" s="3" t="s">
        <v>42</v>
      </c>
    </row>
    <row r="13" spans="1:9" ht="22" customHeight="1" x14ac:dyDescent="0.55000000000000004">
      <c r="A13" s="9" t="s">
        <v>43</v>
      </c>
      <c r="B13" s="10" t="s">
        <v>11</v>
      </c>
      <c r="C13" s="10" t="s">
        <v>44</v>
      </c>
      <c r="D13" s="11">
        <v>1</v>
      </c>
      <c r="E13" s="12">
        <v>200000</v>
      </c>
      <c r="F13" s="13">
        <f t="shared" si="0"/>
        <v>200000</v>
      </c>
      <c r="G13" s="14" t="s">
        <v>19</v>
      </c>
      <c r="H13" s="10" t="s">
        <v>45</v>
      </c>
      <c r="I13" s="10" t="s">
        <v>46</v>
      </c>
    </row>
    <row r="14" spans="1:9" ht="24" customHeight="1" x14ac:dyDescent="0.55000000000000004">
      <c r="A14" s="24" t="s">
        <v>47</v>
      </c>
      <c r="B14" s="25"/>
      <c r="C14" s="25"/>
      <c r="D14" s="25"/>
      <c r="E14" s="25"/>
      <c r="F14" s="25"/>
      <c r="G14" s="25"/>
      <c r="H14" s="25"/>
      <c r="I14" s="25"/>
    </row>
    <row r="15" spans="1:9" ht="22" customHeight="1" x14ac:dyDescent="0.55000000000000004">
      <c r="A15" s="2" t="s">
        <v>48</v>
      </c>
      <c r="B15" s="3" t="s">
        <v>47</v>
      </c>
      <c r="C15" s="4" t="s">
        <v>49</v>
      </c>
      <c r="D15" s="5">
        <v>1</v>
      </c>
      <c r="E15" s="6">
        <v>39000000</v>
      </c>
      <c r="F15" s="7">
        <f>D15*E15</f>
        <v>39000000</v>
      </c>
      <c r="G15" s="8" t="s">
        <v>14</v>
      </c>
      <c r="H15" s="3" t="s">
        <v>50</v>
      </c>
      <c r="I15" s="3" t="s">
        <v>51</v>
      </c>
    </row>
    <row r="16" spans="1:9" ht="22" customHeight="1" x14ac:dyDescent="0.55000000000000004">
      <c r="A16" s="2" t="s">
        <v>52</v>
      </c>
      <c r="B16" s="3" t="s">
        <v>47</v>
      </c>
      <c r="C16" s="4" t="s">
        <v>53</v>
      </c>
      <c r="D16" s="5">
        <v>1</v>
      </c>
      <c r="E16" s="6">
        <v>1590000</v>
      </c>
      <c r="F16" s="7">
        <f>D16*E16</f>
        <v>1590000</v>
      </c>
      <c r="G16" s="8" t="s">
        <v>14</v>
      </c>
      <c r="H16" s="3" t="s">
        <v>54</v>
      </c>
      <c r="I16" s="3" t="s">
        <v>55</v>
      </c>
    </row>
    <row r="17" spans="1:9" ht="22" customHeight="1" x14ac:dyDescent="0.55000000000000004">
      <c r="A17" s="9" t="s">
        <v>56</v>
      </c>
      <c r="B17" s="10" t="s">
        <v>47</v>
      </c>
      <c r="C17" s="10" t="s">
        <v>57</v>
      </c>
      <c r="D17" s="11">
        <v>1</v>
      </c>
      <c r="E17" s="12">
        <v>1500000</v>
      </c>
      <c r="F17" s="13">
        <f>D17*E17</f>
        <v>1500000</v>
      </c>
      <c r="G17" s="14" t="s">
        <v>19</v>
      </c>
      <c r="H17" s="10" t="s">
        <v>58</v>
      </c>
      <c r="I17" s="10" t="s">
        <v>59</v>
      </c>
    </row>
    <row r="18" spans="1:9" ht="24" customHeight="1" x14ac:dyDescent="0.55000000000000004">
      <c r="A18" s="24" t="s">
        <v>60</v>
      </c>
      <c r="B18" s="25"/>
      <c r="C18" s="25"/>
      <c r="D18" s="25"/>
      <c r="E18" s="25"/>
      <c r="F18" s="25"/>
      <c r="G18" s="25"/>
      <c r="H18" s="25"/>
      <c r="I18" s="25"/>
    </row>
    <row r="19" spans="1:9" ht="22" customHeight="1" x14ac:dyDescent="0.55000000000000004">
      <c r="A19" s="9" t="s">
        <v>61</v>
      </c>
      <c r="B19" s="10" t="s">
        <v>60</v>
      </c>
      <c r="C19" s="10" t="s">
        <v>62</v>
      </c>
      <c r="D19" s="11">
        <v>1</v>
      </c>
      <c r="E19" s="12">
        <v>7500000</v>
      </c>
      <c r="F19" s="13">
        <f t="shared" ref="F19:F24" si="1">D19*E19</f>
        <v>7500000</v>
      </c>
      <c r="G19" s="14" t="s">
        <v>19</v>
      </c>
      <c r="H19" s="31" t="s">
        <v>63</v>
      </c>
      <c r="I19" s="10" t="s">
        <v>64</v>
      </c>
    </row>
    <row r="20" spans="1:9" ht="22" customHeight="1" x14ac:dyDescent="0.55000000000000004">
      <c r="A20" s="15" t="s">
        <v>65</v>
      </c>
      <c r="B20" s="3" t="s">
        <v>60</v>
      </c>
      <c r="C20" s="3" t="s">
        <v>66</v>
      </c>
      <c r="D20" s="16">
        <v>1</v>
      </c>
      <c r="E20" s="17">
        <v>8000000</v>
      </c>
      <c r="F20" s="18">
        <f t="shared" si="1"/>
        <v>8000000</v>
      </c>
      <c r="G20" s="19" t="s">
        <v>19</v>
      </c>
      <c r="H20" s="3" t="s">
        <v>63</v>
      </c>
      <c r="I20" s="3" t="s">
        <v>67</v>
      </c>
    </row>
    <row r="21" spans="1:9" ht="22" customHeight="1" x14ac:dyDescent="0.55000000000000004">
      <c r="A21" s="9" t="s">
        <v>68</v>
      </c>
      <c r="B21" s="10" t="s">
        <v>60</v>
      </c>
      <c r="C21" s="10" t="s">
        <v>69</v>
      </c>
      <c r="D21" s="11">
        <v>2</v>
      </c>
      <c r="E21" s="12">
        <v>3800000</v>
      </c>
      <c r="F21" s="13">
        <f t="shared" si="1"/>
        <v>7600000</v>
      </c>
      <c r="G21" s="14" t="s">
        <v>19</v>
      </c>
      <c r="H21" s="10" t="s">
        <v>70</v>
      </c>
      <c r="I21" s="10" t="s">
        <v>71</v>
      </c>
    </row>
    <row r="22" spans="1:9" ht="22" customHeight="1" x14ac:dyDescent="0.55000000000000004">
      <c r="A22" s="15" t="s">
        <v>72</v>
      </c>
      <c r="B22" s="3" t="s">
        <v>60</v>
      </c>
      <c r="C22" s="3" t="s">
        <v>73</v>
      </c>
      <c r="D22" s="16">
        <v>1</v>
      </c>
      <c r="E22" s="17">
        <v>800000</v>
      </c>
      <c r="F22" s="18">
        <f t="shared" si="1"/>
        <v>800000</v>
      </c>
      <c r="G22" s="19" t="s">
        <v>19</v>
      </c>
      <c r="H22" s="3" t="s">
        <v>74</v>
      </c>
      <c r="I22" s="3" t="s">
        <v>75</v>
      </c>
    </row>
    <row r="23" spans="1:9" ht="22" customHeight="1" x14ac:dyDescent="0.55000000000000004">
      <c r="A23" s="9" t="s">
        <v>76</v>
      </c>
      <c r="B23" s="10" t="s">
        <v>60</v>
      </c>
      <c r="C23" s="10" t="s">
        <v>77</v>
      </c>
      <c r="D23" s="11">
        <v>2</v>
      </c>
      <c r="E23" s="12">
        <v>1000000</v>
      </c>
      <c r="F23" s="13">
        <f t="shared" si="1"/>
        <v>2000000</v>
      </c>
      <c r="G23" s="14" t="s">
        <v>19</v>
      </c>
      <c r="H23" s="10" t="s">
        <v>78</v>
      </c>
      <c r="I23" s="10" t="s">
        <v>79</v>
      </c>
    </row>
    <row r="24" spans="1:9" ht="22" customHeight="1" x14ac:dyDescent="0.55000000000000004">
      <c r="A24" s="15" t="s">
        <v>80</v>
      </c>
      <c r="B24" s="3" t="s">
        <v>60</v>
      </c>
      <c r="C24" s="3" t="s">
        <v>81</v>
      </c>
      <c r="D24" s="16">
        <v>1</v>
      </c>
      <c r="E24" s="17">
        <v>800000</v>
      </c>
      <c r="F24" s="18">
        <f t="shared" si="1"/>
        <v>800000</v>
      </c>
      <c r="G24" s="19" t="s">
        <v>19</v>
      </c>
      <c r="H24" s="3" t="s">
        <v>74</v>
      </c>
      <c r="I24" s="3" t="s">
        <v>82</v>
      </c>
    </row>
    <row r="25" spans="1:9" ht="24" customHeight="1" x14ac:dyDescent="0.55000000000000004">
      <c r="A25" s="24" t="s">
        <v>83</v>
      </c>
      <c r="B25" s="25"/>
      <c r="C25" s="25"/>
      <c r="D25" s="25"/>
      <c r="E25" s="25"/>
      <c r="F25" s="25"/>
      <c r="G25" s="25"/>
      <c r="H25" s="25"/>
      <c r="I25" s="25"/>
    </row>
    <row r="26" spans="1:9" ht="22" customHeight="1" x14ac:dyDescent="0.55000000000000004">
      <c r="A26" s="15" t="s">
        <v>84</v>
      </c>
      <c r="B26" s="3" t="s">
        <v>83</v>
      </c>
      <c r="C26" s="3" t="s">
        <v>85</v>
      </c>
      <c r="D26" s="16">
        <v>1</v>
      </c>
      <c r="E26" s="20">
        <v>16500000</v>
      </c>
      <c r="F26" s="18">
        <f>D26*E26</f>
        <v>16500000</v>
      </c>
      <c r="G26" s="21" t="s">
        <v>32</v>
      </c>
      <c r="H26" s="3" t="s">
        <v>86</v>
      </c>
      <c r="I26" s="3" t="s">
        <v>87</v>
      </c>
    </row>
    <row r="27" spans="1:9" ht="22" customHeight="1" x14ac:dyDescent="0.55000000000000004">
      <c r="A27" s="9" t="s">
        <v>88</v>
      </c>
      <c r="B27" s="10" t="s">
        <v>83</v>
      </c>
      <c r="C27" s="10" t="s">
        <v>89</v>
      </c>
      <c r="D27" s="11">
        <v>1</v>
      </c>
      <c r="E27" s="12">
        <v>350000</v>
      </c>
      <c r="F27" s="13">
        <f>D27*E27</f>
        <v>350000</v>
      </c>
      <c r="G27" s="14" t="s">
        <v>19</v>
      </c>
      <c r="H27" s="10" t="s">
        <v>37</v>
      </c>
      <c r="I27" s="10" t="s">
        <v>90</v>
      </c>
    </row>
    <row r="28" spans="1:9" ht="22" customHeight="1" x14ac:dyDescent="0.55000000000000004">
      <c r="A28" s="15" t="s">
        <v>91</v>
      </c>
      <c r="B28" s="3" t="s">
        <v>83</v>
      </c>
      <c r="C28" s="3" t="s">
        <v>92</v>
      </c>
      <c r="D28" s="16">
        <v>1</v>
      </c>
      <c r="E28" s="17">
        <v>150000</v>
      </c>
      <c r="F28" s="18">
        <f>D28*E28</f>
        <v>150000</v>
      </c>
      <c r="G28" s="19" t="s">
        <v>19</v>
      </c>
      <c r="H28" s="3" t="s">
        <v>37</v>
      </c>
      <c r="I28" s="3" t="s">
        <v>93</v>
      </c>
    </row>
    <row r="29" spans="1:9" ht="22" customHeight="1" x14ac:dyDescent="0.55000000000000004">
      <c r="A29" s="9" t="s">
        <v>94</v>
      </c>
      <c r="B29" s="10" t="s">
        <v>83</v>
      </c>
      <c r="C29" s="10" t="s">
        <v>95</v>
      </c>
      <c r="D29" s="11">
        <v>1</v>
      </c>
      <c r="E29" s="12">
        <v>800000</v>
      </c>
      <c r="F29" s="13">
        <f>D29*E29</f>
        <v>800000</v>
      </c>
      <c r="G29" s="14" t="s">
        <v>19</v>
      </c>
      <c r="H29" s="10" t="s">
        <v>37</v>
      </c>
      <c r="I29" s="10" t="s">
        <v>96</v>
      </c>
    </row>
    <row r="30" spans="1:9" ht="22" customHeight="1" x14ac:dyDescent="0.55000000000000004">
      <c r="A30" s="15" t="s">
        <v>97</v>
      </c>
      <c r="B30" s="3" t="s">
        <v>83</v>
      </c>
      <c r="C30" s="3" t="s">
        <v>98</v>
      </c>
      <c r="D30" s="16">
        <v>1</v>
      </c>
      <c r="E30" s="17">
        <v>300000</v>
      </c>
      <c r="F30" s="18">
        <f>D30*E30</f>
        <v>300000</v>
      </c>
      <c r="G30" s="19" t="s">
        <v>19</v>
      </c>
      <c r="H30" s="3" t="s">
        <v>99</v>
      </c>
      <c r="I30" s="3" t="s">
        <v>100</v>
      </c>
    </row>
    <row r="31" spans="1:9" ht="24" customHeight="1" x14ac:dyDescent="0.55000000000000004">
      <c r="A31" s="24" t="s">
        <v>101</v>
      </c>
      <c r="B31" s="25"/>
      <c r="C31" s="25"/>
      <c r="D31" s="25"/>
      <c r="E31" s="25"/>
      <c r="F31" s="25"/>
      <c r="G31" s="25"/>
      <c r="H31" s="25"/>
      <c r="I31" s="25"/>
    </row>
    <row r="32" spans="1:9" ht="22" customHeight="1" x14ac:dyDescent="0.55000000000000004">
      <c r="A32" s="15" t="s">
        <v>102</v>
      </c>
      <c r="B32" s="3" t="s">
        <v>101</v>
      </c>
      <c r="C32" s="3" t="s">
        <v>103</v>
      </c>
      <c r="D32" s="16">
        <v>1</v>
      </c>
      <c r="E32" s="20">
        <v>1500000</v>
      </c>
      <c r="F32" s="18">
        <f>D32*E32</f>
        <v>1500000</v>
      </c>
      <c r="G32" s="21" t="s">
        <v>32</v>
      </c>
      <c r="H32" s="3" t="s">
        <v>104</v>
      </c>
      <c r="I32" s="3" t="s">
        <v>105</v>
      </c>
    </row>
    <row r="33" spans="1:9" ht="22" customHeight="1" x14ac:dyDescent="0.55000000000000004">
      <c r="A33" s="9" t="s">
        <v>106</v>
      </c>
      <c r="B33" s="10" t="s">
        <v>101</v>
      </c>
      <c r="C33" s="10" t="s">
        <v>107</v>
      </c>
      <c r="D33" s="11">
        <v>1</v>
      </c>
      <c r="E33" s="12">
        <v>600000</v>
      </c>
      <c r="F33" s="13">
        <f>D33*E33</f>
        <v>600000</v>
      </c>
      <c r="G33" s="14" t="s">
        <v>19</v>
      </c>
      <c r="H33" s="10" t="s">
        <v>37</v>
      </c>
      <c r="I33" s="10" t="s">
        <v>108</v>
      </c>
    </row>
    <row r="34" spans="1:9" ht="22" customHeight="1" x14ac:dyDescent="0.55000000000000004">
      <c r="A34" s="15" t="s">
        <v>109</v>
      </c>
      <c r="B34" s="3" t="s">
        <v>101</v>
      </c>
      <c r="C34" s="3" t="s">
        <v>110</v>
      </c>
      <c r="D34" s="16">
        <v>1</v>
      </c>
      <c r="E34" s="17">
        <v>150000</v>
      </c>
      <c r="F34" s="18">
        <f>D34*E34</f>
        <v>150000</v>
      </c>
      <c r="G34" s="19" t="s">
        <v>19</v>
      </c>
      <c r="H34" s="3" t="s">
        <v>111</v>
      </c>
      <c r="I34" s="3" t="s">
        <v>112</v>
      </c>
    </row>
    <row r="35" spans="1:9" ht="22" customHeight="1" x14ac:dyDescent="0.55000000000000004">
      <c r="A35" s="2" t="s">
        <v>113</v>
      </c>
      <c r="B35" s="3" t="s">
        <v>101</v>
      </c>
      <c r="C35" s="4" t="s">
        <v>114</v>
      </c>
      <c r="D35" s="5">
        <v>1</v>
      </c>
      <c r="E35" s="6">
        <v>2140000</v>
      </c>
      <c r="F35" s="7">
        <f>D35*E35</f>
        <v>2140000</v>
      </c>
      <c r="G35" s="8" t="s">
        <v>14</v>
      </c>
      <c r="H35" s="3" t="s">
        <v>115</v>
      </c>
      <c r="I35" s="3" t="s">
        <v>116</v>
      </c>
    </row>
    <row r="36" spans="1:9" ht="24" customHeight="1" x14ac:dyDescent="0.55000000000000004">
      <c r="A36" s="24" t="s">
        <v>117</v>
      </c>
      <c r="B36" s="25"/>
      <c r="C36" s="25"/>
      <c r="D36" s="25"/>
      <c r="E36" s="25"/>
      <c r="F36" s="25"/>
      <c r="G36" s="25"/>
      <c r="H36" s="25"/>
      <c r="I36" s="25"/>
    </row>
    <row r="37" spans="1:9" ht="22" customHeight="1" x14ac:dyDescent="0.55000000000000004">
      <c r="A37" s="15" t="s">
        <v>118</v>
      </c>
      <c r="B37" s="3" t="s">
        <v>117</v>
      </c>
      <c r="C37" s="3" t="s">
        <v>119</v>
      </c>
      <c r="D37" s="16">
        <v>1</v>
      </c>
      <c r="E37" s="20">
        <v>2500000</v>
      </c>
      <c r="F37" s="18">
        <f t="shared" ref="F37:F43" si="2">D37*E37</f>
        <v>2500000</v>
      </c>
      <c r="G37" s="21" t="s">
        <v>32</v>
      </c>
      <c r="H37" s="3" t="s">
        <v>58</v>
      </c>
      <c r="I37" s="3" t="s">
        <v>120</v>
      </c>
    </row>
    <row r="38" spans="1:9" ht="22" customHeight="1" x14ac:dyDescent="0.55000000000000004">
      <c r="A38" s="15" t="s">
        <v>121</v>
      </c>
      <c r="B38" s="3" t="s">
        <v>117</v>
      </c>
      <c r="C38" s="3" t="s">
        <v>122</v>
      </c>
      <c r="D38" s="16">
        <v>1</v>
      </c>
      <c r="E38" s="20">
        <v>1000000</v>
      </c>
      <c r="F38" s="18">
        <f t="shared" si="2"/>
        <v>1000000</v>
      </c>
      <c r="G38" s="21" t="s">
        <v>32</v>
      </c>
      <c r="H38" s="3" t="s">
        <v>123</v>
      </c>
      <c r="I38" s="3" t="s">
        <v>124</v>
      </c>
    </row>
    <row r="39" spans="1:9" ht="22" customHeight="1" x14ac:dyDescent="0.55000000000000004">
      <c r="A39" s="15" t="s">
        <v>125</v>
      </c>
      <c r="B39" s="3" t="s">
        <v>117</v>
      </c>
      <c r="C39" s="3" t="s">
        <v>126</v>
      </c>
      <c r="D39" s="16">
        <v>3</v>
      </c>
      <c r="E39" s="20">
        <v>1800000</v>
      </c>
      <c r="F39" s="18">
        <f t="shared" si="2"/>
        <v>5400000</v>
      </c>
      <c r="G39" s="21" t="s">
        <v>32</v>
      </c>
      <c r="H39" s="3" t="s">
        <v>127</v>
      </c>
      <c r="I39" s="3" t="s">
        <v>128</v>
      </c>
    </row>
    <row r="40" spans="1:9" ht="22" customHeight="1" x14ac:dyDescent="0.55000000000000004">
      <c r="A40" s="15" t="s">
        <v>129</v>
      </c>
      <c r="B40" s="3" t="s">
        <v>117</v>
      </c>
      <c r="C40" s="3" t="s">
        <v>130</v>
      </c>
      <c r="D40" s="16">
        <v>3</v>
      </c>
      <c r="E40" s="20">
        <v>380000</v>
      </c>
      <c r="F40" s="18">
        <f t="shared" si="2"/>
        <v>1140000</v>
      </c>
      <c r="G40" s="21" t="s">
        <v>32</v>
      </c>
      <c r="H40" s="3" t="s">
        <v>131</v>
      </c>
      <c r="I40" s="3" t="s">
        <v>132</v>
      </c>
    </row>
    <row r="41" spans="1:9" ht="22" customHeight="1" x14ac:dyDescent="0.55000000000000004">
      <c r="A41" s="9" t="s">
        <v>133</v>
      </c>
      <c r="B41" s="10" t="s">
        <v>117</v>
      </c>
      <c r="C41" s="10" t="s">
        <v>134</v>
      </c>
      <c r="D41" s="11">
        <v>1</v>
      </c>
      <c r="E41" s="12">
        <v>300000</v>
      </c>
      <c r="F41" s="13">
        <f t="shared" si="2"/>
        <v>300000</v>
      </c>
      <c r="G41" s="14" t="s">
        <v>19</v>
      </c>
      <c r="H41" s="10" t="s">
        <v>135</v>
      </c>
      <c r="I41" s="10" t="s">
        <v>136</v>
      </c>
    </row>
    <row r="42" spans="1:9" ht="22" customHeight="1" x14ac:dyDescent="0.55000000000000004">
      <c r="A42" s="15" t="s">
        <v>137</v>
      </c>
      <c r="B42" s="3" t="s">
        <v>117</v>
      </c>
      <c r="C42" s="3" t="s">
        <v>138</v>
      </c>
      <c r="D42" s="16">
        <v>1</v>
      </c>
      <c r="E42" s="17">
        <v>1000000</v>
      </c>
      <c r="F42" s="18">
        <f t="shared" si="2"/>
        <v>1000000</v>
      </c>
      <c r="G42" s="19" t="s">
        <v>19</v>
      </c>
      <c r="H42" s="3" t="s">
        <v>139</v>
      </c>
      <c r="I42" s="3" t="s">
        <v>140</v>
      </c>
    </row>
    <row r="43" spans="1:9" ht="22" customHeight="1" x14ac:dyDescent="0.55000000000000004">
      <c r="A43" s="9" t="s">
        <v>141</v>
      </c>
      <c r="B43" s="10" t="s">
        <v>117</v>
      </c>
      <c r="C43" s="10" t="s">
        <v>142</v>
      </c>
      <c r="D43" s="11">
        <v>1</v>
      </c>
      <c r="E43" s="12">
        <v>3500000</v>
      </c>
      <c r="F43" s="13">
        <f t="shared" si="2"/>
        <v>3500000</v>
      </c>
      <c r="G43" s="14" t="s">
        <v>19</v>
      </c>
      <c r="H43" s="10" t="s">
        <v>139</v>
      </c>
      <c r="I43" s="10" t="s">
        <v>143</v>
      </c>
    </row>
    <row r="44" spans="1:9" ht="24" customHeight="1" x14ac:dyDescent="0.55000000000000004">
      <c r="A44" s="24" t="s">
        <v>144</v>
      </c>
      <c r="B44" s="25"/>
      <c r="C44" s="25"/>
      <c r="D44" s="25"/>
      <c r="E44" s="25"/>
      <c r="F44" s="25"/>
      <c r="G44" s="25"/>
      <c r="H44" s="25"/>
      <c r="I44" s="25"/>
    </row>
    <row r="45" spans="1:9" ht="22" customHeight="1" x14ac:dyDescent="0.55000000000000004">
      <c r="A45" s="2" t="s">
        <v>145</v>
      </c>
      <c r="B45" s="3" t="s">
        <v>144</v>
      </c>
      <c r="C45" s="4" t="s">
        <v>146</v>
      </c>
      <c r="D45" s="5">
        <v>1</v>
      </c>
      <c r="E45" s="6">
        <v>790000</v>
      </c>
      <c r="F45" s="7">
        <f>D45*E45</f>
        <v>790000</v>
      </c>
      <c r="G45" s="8" t="s">
        <v>14</v>
      </c>
      <c r="H45" s="3" t="s">
        <v>147</v>
      </c>
      <c r="I45" s="3" t="s">
        <v>148</v>
      </c>
    </row>
    <row r="46" spans="1:9" ht="22" customHeight="1" x14ac:dyDescent="0.55000000000000004">
      <c r="A46" s="15" t="s">
        <v>149</v>
      </c>
      <c r="B46" s="3" t="s">
        <v>144</v>
      </c>
      <c r="C46" s="3" t="s">
        <v>150</v>
      </c>
      <c r="D46" s="16">
        <v>1</v>
      </c>
      <c r="E46" s="17">
        <v>350000</v>
      </c>
      <c r="F46" s="18">
        <f>D46*E46</f>
        <v>350000</v>
      </c>
      <c r="G46" s="19" t="s">
        <v>19</v>
      </c>
      <c r="H46" s="3" t="s">
        <v>151</v>
      </c>
      <c r="I46" s="3" t="s">
        <v>152</v>
      </c>
    </row>
    <row r="47" spans="1:9" ht="24" customHeight="1" x14ac:dyDescent="0.55000000000000004">
      <c r="A47" s="24" t="s">
        <v>153</v>
      </c>
      <c r="B47" s="25"/>
      <c r="C47" s="25"/>
      <c r="D47" s="25"/>
      <c r="E47" s="25"/>
      <c r="F47" s="25"/>
      <c r="G47" s="25"/>
      <c r="H47" s="25"/>
      <c r="I47" s="25"/>
    </row>
    <row r="48" spans="1:9" ht="22" customHeight="1" x14ac:dyDescent="0.55000000000000004">
      <c r="A48" s="15" t="s">
        <v>154</v>
      </c>
      <c r="B48" s="3" t="s">
        <v>155</v>
      </c>
      <c r="C48" s="3" t="s">
        <v>156</v>
      </c>
      <c r="D48" s="16">
        <v>1</v>
      </c>
      <c r="E48" s="17">
        <v>6000000</v>
      </c>
      <c r="F48" s="18">
        <f>D48*E48</f>
        <v>6000000</v>
      </c>
      <c r="G48" s="19" t="s">
        <v>157</v>
      </c>
      <c r="H48" s="3" t="s">
        <v>158</v>
      </c>
      <c r="I48" s="3" t="s">
        <v>159</v>
      </c>
    </row>
    <row r="49" spans="1:9" ht="22" customHeight="1" x14ac:dyDescent="0.55000000000000004">
      <c r="A49" s="9" t="s">
        <v>160</v>
      </c>
      <c r="B49" s="10" t="s">
        <v>155</v>
      </c>
      <c r="C49" s="10" t="s">
        <v>161</v>
      </c>
      <c r="D49" s="11">
        <v>1</v>
      </c>
      <c r="E49" s="12">
        <v>3000000</v>
      </c>
      <c r="F49" s="13">
        <f>D49*E49</f>
        <v>3000000</v>
      </c>
      <c r="G49" s="14" t="s">
        <v>157</v>
      </c>
      <c r="H49" s="10" t="s">
        <v>158</v>
      </c>
      <c r="I49" s="10" t="s">
        <v>162</v>
      </c>
    </row>
    <row r="50" spans="1:9" ht="30" customHeight="1" thickBot="1" x14ac:dyDescent="0.6">
      <c r="A50" s="26" t="s">
        <v>163</v>
      </c>
      <c r="B50" s="27"/>
      <c r="C50" s="27"/>
      <c r="D50" s="27"/>
      <c r="E50" s="27"/>
      <c r="F50" s="22">
        <f>SUM(F5:F49)</f>
        <v>136970000</v>
      </c>
      <c r="G50" s="23" t="s">
        <v>164</v>
      </c>
      <c r="H50" s="27"/>
      <c r="I50" s="27"/>
    </row>
  </sheetData>
  <mergeCells count="12">
    <mergeCell ref="A1:I1"/>
    <mergeCell ref="A18:I18"/>
    <mergeCell ref="A31:I31"/>
    <mergeCell ref="H50:I50"/>
    <mergeCell ref="A25:I25"/>
    <mergeCell ref="A50:E50"/>
    <mergeCell ref="A2:I2"/>
    <mergeCell ref="A47:I47"/>
    <mergeCell ref="A5:I5"/>
    <mergeCell ref="A36:I36"/>
    <mergeCell ref="A14:I14"/>
    <mergeCell ref="A44:I44"/>
  </mergeCells>
  <hyperlinks>
    <hyperlink ref="H19" r:id="rId1" xr:uid="{5D24E809-8345-4764-92A2-5ED921D3B6A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Dự Toán BOM Chi Tiết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Thị Vân Anh</cp:lastModifiedBy>
  <dcterms:created xsi:type="dcterms:W3CDTF">2026-06-26T05:45:21Z</dcterms:created>
  <dcterms:modified xsi:type="dcterms:W3CDTF">2026-06-26T06:00:47Z</dcterms:modified>
</cp:coreProperties>
</file>